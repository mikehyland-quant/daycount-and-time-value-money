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"/>
    </mc:Choice>
  </mc:AlternateContent>
  <xr:revisionPtr revIDLastSave="188" documentId="8_{0CC77C19-829E-46C7-8E78-D66840836F04}" xr6:coauthVersionLast="47" xr6:coauthVersionMax="47" xr10:uidLastSave="{EE5CE93A-F147-4680-A364-2D166EF6C4D0}"/>
  <bookViews>
    <workbookView xWindow="1908" yWindow="2304" windowWidth="21132" windowHeight="9564" xr2:uid="{503D0471-0072-49B3-8765-46F5A86F648C}"/>
  </bookViews>
  <sheets>
    <sheet name="Summary" sheetId="1" r:id="rId1"/>
    <sheet name="Native" sheetId="5" r:id="rId2"/>
    <sheet name="ETF" sheetId="2" r:id="rId3"/>
    <sheet name="CME-Fut" sheetId="4" r:id="rId4"/>
    <sheet name="CME-Combo" sheetId="3" r:id="rId5"/>
    <sheet name="IBIT-Comb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K8" i="5" s="1"/>
  <c r="O9" i="5"/>
  <c r="K9" i="5" s="1"/>
  <c r="O10" i="5"/>
  <c r="L10" i="5" s="1"/>
  <c r="O11" i="5"/>
  <c r="L11" i="5" s="1"/>
  <c r="O2" i="5"/>
  <c r="K2" i="5" s="1"/>
  <c r="N3" i="5"/>
  <c r="N4" i="5"/>
  <c r="N5" i="5"/>
  <c r="N6" i="5"/>
  <c r="N7" i="5"/>
  <c r="N8" i="5"/>
  <c r="N9" i="5"/>
  <c r="N10" i="5"/>
  <c r="N11" i="5"/>
  <c r="N2" i="5"/>
  <c r="I3" i="5"/>
  <c r="I4" i="5"/>
  <c r="I5" i="5"/>
  <c r="I6" i="5"/>
  <c r="I7" i="5"/>
  <c r="I8" i="5"/>
  <c r="I9" i="5"/>
  <c r="I10" i="5"/>
  <c r="I11" i="5"/>
  <c r="I2" i="5"/>
  <c r="M3" i="5"/>
  <c r="M4" i="5"/>
  <c r="M5" i="5"/>
  <c r="M6" i="5"/>
  <c r="M7" i="5"/>
  <c r="M8" i="5"/>
  <c r="L8" i="5" s="1"/>
  <c r="M9" i="5"/>
  <c r="L9" i="5" s="1"/>
  <c r="M10" i="5"/>
  <c r="M11" i="5"/>
  <c r="M2" i="5"/>
  <c r="J3" i="5"/>
  <c r="J4" i="5"/>
  <c r="J5" i="5"/>
  <c r="J6" i="5"/>
  <c r="J7" i="5"/>
  <c r="J8" i="5"/>
  <c r="J9" i="5"/>
  <c r="J10" i="5"/>
  <c r="J11" i="5"/>
  <c r="J2" i="5"/>
  <c r="G11" i="5"/>
  <c r="G3" i="5"/>
  <c r="G4" i="5"/>
  <c r="G5" i="5"/>
  <c r="G6" i="5"/>
  <c r="G7" i="5"/>
  <c r="G8" i="5"/>
  <c r="G9" i="5"/>
  <c r="G10" i="5"/>
  <c r="G2" i="5"/>
  <c r="F11" i="5"/>
  <c r="F3" i="5"/>
  <c r="F4" i="5"/>
  <c r="F5" i="5"/>
  <c r="F6" i="5"/>
  <c r="F7" i="5"/>
  <c r="F8" i="5"/>
  <c r="F9" i="5"/>
  <c r="F10" i="5"/>
  <c r="F2" i="5"/>
  <c r="L7" i="5"/>
  <c r="K7" i="5"/>
  <c r="L6" i="5"/>
  <c r="L5" i="5"/>
  <c r="K4" i="5"/>
  <c r="L3" i="5"/>
  <c r="K3" i="5"/>
  <c r="L4" i="4"/>
  <c r="K4" i="4"/>
  <c r="L3" i="4"/>
  <c r="K3" i="4"/>
  <c r="L2" i="4"/>
  <c r="K2" i="4"/>
  <c r="L3" i="2"/>
  <c r="L4" i="2"/>
  <c r="L5" i="2"/>
  <c r="L6" i="2"/>
  <c r="L7" i="2"/>
  <c r="L8" i="2"/>
  <c r="L9" i="2"/>
  <c r="L10" i="2"/>
  <c r="L2" i="2"/>
  <c r="K3" i="2"/>
  <c r="K4" i="2"/>
  <c r="K5" i="2"/>
  <c r="K6" i="2"/>
  <c r="K7" i="2"/>
  <c r="K8" i="2"/>
  <c r="K9" i="2"/>
  <c r="K10" i="2"/>
  <c r="K2" i="2"/>
  <c r="J2" i="4"/>
  <c r="I2" i="4"/>
  <c r="N3" i="4"/>
  <c r="N4" i="4"/>
  <c r="N2" i="4"/>
  <c r="D4" i="2"/>
  <c r="D5" i="2"/>
  <c r="D6" i="2"/>
  <c r="D7" i="2"/>
  <c r="D8" i="2"/>
  <c r="D9" i="2"/>
  <c r="D10" i="2"/>
  <c r="D3" i="2"/>
  <c r="B6" i="2"/>
  <c r="B7" i="2"/>
  <c r="B8" i="2"/>
  <c r="B9" i="2"/>
  <c r="B10" i="2"/>
  <c r="C2" i="2"/>
  <c r="K10" i="5" l="1"/>
  <c r="K5" i="5"/>
  <c r="L2" i="5"/>
  <c r="K11" i="5"/>
  <c r="L4" i="5"/>
  <c r="K6" i="5"/>
  <c r="O3" i="2" l="1"/>
  <c r="O4" i="2"/>
  <c r="O5" i="2"/>
  <c r="O6" i="2"/>
  <c r="O7" i="2"/>
  <c r="O8" i="2"/>
  <c r="O9" i="2"/>
  <c r="O10" i="2"/>
  <c r="O2" i="2"/>
  <c r="M3" i="2"/>
  <c r="M4" i="2"/>
  <c r="M5" i="2"/>
  <c r="M6" i="2"/>
  <c r="M7" i="2"/>
  <c r="M8" i="2"/>
  <c r="M9" i="2"/>
  <c r="M10" i="2"/>
  <c r="M2" i="2"/>
  <c r="J3" i="2"/>
  <c r="J4" i="2"/>
  <c r="J5" i="2"/>
  <c r="J6" i="2"/>
  <c r="J7" i="2"/>
  <c r="J8" i="2"/>
  <c r="J9" i="2"/>
  <c r="J10" i="2"/>
  <c r="J2" i="2"/>
  <c r="N3" i="2"/>
  <c r="N4" i="2"/>
  <c r="N5" i="2"/>
  <c r="N6" i="2"/>
  <c r="N7" i="2"/>
  <c r="N8" i="2"/>
  <c r="N9" i="2"/>
  <c r="N10" i="2"/>
  <c r="N2" i="2"/>
  <c r="I3" i="2"/>
  <c r="I4" i="2"/>
  <c r="I5" i="2"/>
  <c r="I6" i="2"/>
  <c r="I7" i="2"/>
  <c r="I8" i="2"/>
  <c r="I9" i="2"/>
  <c r="I10" i="2"/>
  <c r="I2" i="2"/>
  <c r="C3" i="6"/>
  <c r="C4" i="6"/>
  <c r="C5" i="6"/>
  <c r="C6" i="6"/>
  <c r="C7" i="6"/>
  <c r="C8" i="6"/>
  <c r="C9" i="6"/>
  <c r="C10" i="6"/>
  <c r="C11" i="6"/>
  <c r="C12" i="6"/>
  <c r="C2" i="6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2" i="4"/>
  <c r="B3" i="4" s="1"/>
  <c r="B4" i="4" s="1"/>
  <c r="J5" i="1"/>
  <c r="B2" i="5"/>
  <c r="B3" i="5" s="1"/>
  <c r="B4" i="5" s="1"/>
  <c r="B5" i="5" s="1"/>
  <c r="B6" i="5" s="1"/>
  <c r="B7" i="5" s="1"/>
  <c r="B8" i="5" s="1"/>
  <c r="B9" i="5" s="1"/>
  <c r="B10" i="5" s="1"/>
  <c r="B11" i="5" s="1"/>
  <c r="B2" i="2"/>
  <c r="B3" i="2" s="1"/>
  <c r="B4" i="2" s="1"/>
  <c r="B5" i="2" s="1"/>
</calcChain>
</file>

<file path=xl/sharedStrings.xml><?xml version="1.0" encoding="utf-8"?>
<sst xmlns="http://schemas.openxmlformats.org/spreadsheetml/2006/main" count="156" uniqueCount="57">
  <si>
    <t>Best Bid to Hit After Commissions</t>
  </si>
  <si>
    <t>Best Ask to Lift After Commissions</t>
  </si>
  <si>
    <t>Venue</t>
  </si>
  <si>
    <t>Mkt_Price</t>
  </si>
  <si>
    <t>Mkt_Size</t>
  </si>
  <si>
    <t>Crypto_Price</t>
  </si>
  <si>
    <t>Crypto_Size</t>
  </si>
  <si>
    <t>Cashflow</t>
  </si>
  <si>
    <t>settlement_date</t>
  </si>
  <si>
    <t>days_fwd</t>
  </si>
  <si>
    <t>ETF</t>
  </si>
  <si>
    <t>Ratio</t>
  </si>
  <si>
    <t>Mkt_Bid_Size</t>
  </si>
  <si>
    <t>Mkt_Bid_Price</t>
  </si>
  <si>
    <t>Mkt_Ask_Price</t>
  </si>
  <si>
    <t>Mkt_Ask_Size</t>
  </si>
  <si>
    <t>Unit_Bid_Size</t>
  </si>
  <si>
    <t>Unit_Bid_Price</t>
  </si>
  <si>
    <t>Unit_Ask_Size</t>
  </si>
  <si>
    <t>Unit_Ask_Price</t>
  </si>
  <si>
    <t>Est_Comm_per_Share</t>
  </si>
  <si>
    <t>Unit_Hit_Bid_CF</t>
  </si>
  <si>
    <t>Unit_Lift_Ask_CF</t>
  </si>
  <si>
    <t>IBIT</t>
  </si>
  <si>
    <t>Settle_Date</t>
  </si>
  <si>
    <t>Coinbase</t>
  </si>
  <si>
    <t>ARKB</t>
  </si>
  <si>
    <t>BITB</t>
  </si>
  <si>
    <t>BRRR</t>
  </si>
  <si>
    <t>BTC</t>
  </si>
  <si>
    <t>BTCW</t>
  </si>
  <si>
    <t>EZBC</t>
  </si>
  <si>
    <t>FBTC</t>
  </si>
  <si>
    <t>GBTC</t>
  </si>
  <si>
    <t>Implied</t>
  </si>
  <si>
    <t>Rate</t>
  </si>
  <si>
    <t>Buy</t>
  </si>
  <si>
    <t>Sell</t>
  </si>
  <si>
    <t>= now</t>
  </si>
  <si>
    <t>type</t>
  </si>
  <si>
    <t>Native</t>
  </si>
  <si>
    <t>Contract</t>
  </si>
  <si>
    <t>Contract could be future or options combo</t>
  </si>
  <si>
    <t>CME-Fut</t>
  </si>
  <si>
    <t>CME-Combo</t>
  </si>
  <si>
    <t>Product</t>
  </si>
  <si>
    <t>IBIT-Combo</t>
  </si>
  <si>
    <t>Binance</t>
  </si>
  <si>
    <t>Kraken</t>
  </si>
  <si>
    <t>ByBit</t>
  </si>
  <si>
    <t>Bitstamp</t>
  </si>
  <si>
    <t>OKX</t>
  </si>
  <si>
    <t>LMAX Digital</t>
  </si>
  <si>
    <t>Bitget</t>
  </si>
  <si>
    <t>Bitfinex</t>
  </si>
  <si>
    <t>Huobi</t>
  </si>
  <si>
    <t>Est_Comm_per_Unit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</si>
</sst>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_(* #,##0_);_(* \(#,##0\);_(* &quot;-&quot;??_);_(@_)"/>
    <numFmt numFmtId="166" formatCode="mm/dd/yyyy\ hh:mm:ss\ AM/PM"/>
    <numFmt numFmtId="167" formatCode="0.0000"/>
    <numFmt numFmtId="168" formatCode="_(&quot;$&quot;* #,##0.0000_);_(&quot;$&quot;* \(#,##0.0000\);_(&quot;$&quot;* &quot;-&quot;??_);_(@_)"/>
    <numFmt numFmtId="169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 wrapText="1"/>
    </xf>
    <xf numFmtId="43" fontId="1" fillId="0" borderId="0" xfId="1" applyFont="1" applyFill="1"/>
    <xf numFmtId="43" fontId="1" fillId="0" borderId="0" xfId="1" applyFont="1" applyFill="1" applyBorder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0" applyFont="1"/>
    <xf numFmtId="0" fontId="3" fillId="4" borderId="0" xfId="0" applyFont="1" applyFill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quotePrefix="1" applyNumberFormat="1" applyAlignment="1">
      <alignment horizontal="center"/>
    </xf>
    <xf numFmtId="166" fontId="0" fillId="0" borderId="0" xfId="1" applyNumberFormat="1" applyFont="1" applyBorder="1" applyAlignment="1">
      <alignment horizontal="right"/>
    </xf>
    <xf numFmtId="164" fontId="3" fillId="0" borderId="8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/>
    <xf numFmtId="167" fontId="0" fillId="0" borderId="0" xfId="0" applyNumberFormat="1"/>
    <xf numFmtId="165" fontId="0" fillId="0" borderId="0" xfId="1" applyNumberFormat="1" applyFont="1"/>
    <xf numFmtId="44" fontId="0" fillId="0" borderId="0" xfId="2" applyFont="1"/>
    <xf numFmtId="0" fontId="6" fillId="0" borderId="0" xfId="0" applyFont="1" applyAlignment="1">
      <alignment horizontal="left"/>
    </xf>
    <xf numFmtId="44" fontId="6" fillId="0" borderId="0" xfId="2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left" indent="2"/>
    </xf>
    <xf numFmtId="168" fontId="6" fillId="0" borderId="0" xfId="0" applyNumberFormat="1" applyFont="1" applyAlignment="1">
      <alignment horizontal="center"/>
    </xf>
    <xf numFmtId="168" fontId="0" fillId="0" borderId="0" xfId="0" applyNumberFormat="1"/>
    <xf numFmtId="169" fontId="0" fillId="0" borderId="0" xfId="3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A288-CC65-4260-941F-67396BDB408E}">
  <dimension ref="A1:S18"/>
  <sheetViews>
    <sheetView tabSelected="1" workbookViewId="0">
      <selection activeCell="J11" sqref="J11"/>
    </sheetView>
  </sheetViews>
  <sheetFormatPr defaultRowHeight="14.4" x14ac:dyDescent="0.3"/>
  <cols>
    <col min="2" max="2" width="7.5546875" bestFit="1" customWidth="1"/>
    <col min="3" max="3" width="6.109375" bestFit="1" customWidth="1"/>
    <col min="4" max="4" width="9.21875" bestFit="1" customWidth="1"/>
    <col min="5" max="5" width="8.44140625" bestFit="1" customWidth="1"/>
    <col min="6" max="6" width="11.6640625" bestFit="1" customWidth="1"/>
    <col min="7" max="7" width="10.88671875" bestFit="1" customWidth="1"/>
    <col min="8" max="8" width="8.5546875" bestFit="1" customWidth="1"/>
    <col min="9" max="9" width="8.5546875" style="1" customWidth="1"/>
    <col min="10" max="10" width="20.88671875" style="4" bestFit="1" customWidth="1"/>
    <col min="11" max="11" width="8.6640625" style="4" bestFit="1" customWidth="1"/>
    <col min="12" max="12" width="8.5546875" bestFit="1" customWidth="1"/>
    <col min="13" max="13" width="10.88671875" bestFit="1" customWidth="1"/>
    <col min="14" max="14" width="11.6640625" bestFit="1" customWidth="1"/>
    <col min="15" max="15" width="9.21875" bestFit="1" customWidth="1"/>
    <col min="16" max="16" width="8.44140625" bestFit="1" customWidth="1"/>
    <col min="17" max="17" width="6.109375" bestFit="1" customWidth="1"/>
    <col min="18" max="18" width="7.5546875" bestFit="1" customWidth="1"/>
  </cols>
  <sheetData>
    <row r="1" spans="1:19" ht="15" thickBot="1" x14ac:dyDescent="0.35">
      <c r="B1" s="2" t="s">
        <v>34</v>
      </c>
      <c r="C1" s="46" t="s">
        <v>0</v>
      </c>
      <c r="D1" s="46"/>
      <c r="E1" s="46"/>
      <c r="F1" s="46"/>
      <c r="G1" s="46"/>
      <c r="H1" s="46"/>
      <c r="I1" s="3"/>
      <c r="J1" s="25">
        <v>46042.313263888886</v>
      </c>
      <c r="K1" s="24" t="s">
        <v>38</v>
      </c>
      <c r="L1" s="45" t="s">
        <v>1</v>
      </c>
      <c r="M1" s="45"/>
      <c r="N1" s="45"/>
      <c r="O1" s="45"/>
      <c r="P1" s="45"/>
      <c r="Q1" s="45"/>
      <c r="R1" s="2" t="s">
        <v>34</v>
      </c>
    </row>
    <row r="2" spans="1:19" s="18" customFormat="1" x14ac:dyDescent="0.3">
      <c r="B2" s="12" t="s">
        <v>35</v>
      </c>
      <c r="C2" s="3" t="s">
        <v>2</v>
      </c>
      <c r="D2" s="10" t="s">
        <v>3</v>
      </c>
      <c r="E2" s="10" t="s">
        <v>4</v>
      </c>
      <c r="F2" s="12" t="s">
        <v>5</v>
      </c>
      <c r="G2" s="12" t="s">
        <v>6</v>
      </c>
      <c r="H2" s="3" t="s">
        <v>7</v>
      </c>
      <c r="I2" s="28" t="s">
        <v>39</v>
      </c>
      <c r="J2" s="26" t="s">
        <v>8</v>
      </c>
      <c r="K2" s="20" t="s">
        <v>9</v>
      </c>
      <c r="L2" s="15" t="s">
        <v>7</v>
      </c>
      <c r="M2" s="16" t="s">
        <v>6</v>
      </c>
      <c r="N2" s="16" t="s">
        <v>5</v>
      </c>
      <c r="O2" s="17" t="s">
        <v>3</v>
      </c>
      <c r="P2" s="17" t="s">
        <v>4</v>
      </c>
      <c r="Q2" s="15" t="s">
        <v>2</v>
      </c>
      <c r="R2" s="19" t="s">
        <v>35</v>
      </c>
    </row>
    <row r="3" spans="1:19" x14ac:dyDescent="0.3">
      <c r="A3" t="s">
        <v>36</v>
      </c>
      <c r="B3" s="13"/>
      <c r="D3" s="11"/>
      <c r="E3" s="11"/>
      <c r="F3" s="13"/>
      <c r="G3" s="13"/>
      <c r="I3" s="29" t="s">
        <v>40</v>
      </c>
      <c r="J3" s="4">
        <v>46042</v>
      </c>
      <c r="K3" s="21"/>
      <c r="M3" s="14"/>
      <c r="N3" s="14"/>
      <c r="O3" s="11"/>
      <c r="P3" s="11"/>
      <c r="R3" s="14"/>
      <c r="S3" t="s">
        <v>37</v>
      </c>
    </row>
    <row r="4" spans="1:19" x14ac:dyDescent="0.3">
      <c r="A4" t="s">
        <v>37</v>
      </c>
      <c r="B4" s="13"/>
      <c r="D4" s="11"/>
      <c r="E4" s="11"/>
      <c r="F4" s="13"/>
      <c r="G4" s="13"/>
      <c r="I4" s="29" t="s">
        <v>41</v>
      </c>
      <c r="J4" s="25">
        <v>46043.125</v>
      </c>
      <c r="K4" s="21"/>
      <c r="M4" s="14"/>
      <c r="N4" s="14"/>
      <c r="O4" s="11"/>
      <c r="P4" s="11"/>
      <c r="R4" s="14"/>
      <c r="S4" t="s">
        <v>36</v>
      </c>
    </row>
    <row r="5" spans="1:19" x14ac:dyDescent="0.3">
      <c r="B5" s="13"/>
      <c r="D5" s="11"/>
      <c r="E5" s="11"/>
      <c r="F5" s="13"/>
      <c r="G5" s="13"/>
      <c r="I5" s="29" t="s">
        <v>10</v>
      </c>
      <c r="J5" s="4">
        <f>J3+1</f>
        <v>46043</v>
      </c>
      <c r="K5" s="21"/>
      <c r="M5" s="14"/>
      <c r="N5" s="14"/>
      <c r="O5" s="11"/>
      <c r="P5" s="11"/>
      <c r="R5" s="14"/>
    </row>
    <row r="6" spans="1:19" x14ac:dyDescent="0.3">
      <c r="B6" s="13"/>
      <c r="D6" s="11"/>
      <c r="E6" s="11"/>
      <c r="F6" s="13"/>
      <c r="G6" s="13"/>
      <c r="I6" s="29" t="s">
        <v>41</v>
      </c>
      <c r="J6" s="25">
        <v>46044.125</v>
      </c>
      <c r="K6" s="21"/>
      <c r="M6" s="14"/>
      <c r="N6" s="14"/>
      <c r="O6" s="11"/>
      <c r="P6" s="11"/>
      <c r="R6" s="14"/>
    </row>
    <row r="7" spans="1:19" x14ac:dyDescent="0.3">
      <c r="B7" s="13"/>
      <c r="D7" s="11"/>
      <c r="E7" s="11"/>
      <c r="F7" s="13"/>
      <c r="G7" s="13"/>
      <c r="I7" s="29" t="s">
        <v>41</v>
      </c>
      <c r="J7" s="25">
        <v>46045.125</v>
      </c>
      <c r="K7" s="21"/>
      <c r="M7" s="14"/>
      <c r="N7" s="14"/>
      <c r="O7" s="11"/>
      <c r="P7" s="11"/>
      <c r="R7" s="14"/>
    </row>
    <row r="8" spans="1:19" x14ac:dyDescent="0.3">
      <c r="B8" s="13"/>
      <c r="D8" s="11"/>
      <c r="E8" s="11"/>
      <c r="F8" s="13"/>
      <c r="G8" s="13"/>
      <c r="I8" s="29" t="s">
        <v>41</v>
      </c>
      <c r="J8" s="25">
        <v>46046.125</v>
      </c>
      <c r="K8" s="21"/>
      <c r="M8" s="14"/>
      <c r="N8" s="14"/>
      <c r="O8" s="11"/>
      <c r="P8" s="11"/>
      <c r="R8" s="14"/>
    </row>
    <row r="9" spans="1:19" x14ac:dyDescent="0.3">
      <c r="B9" s="13"/>
      <c r="D9" s="11"/>
      <c r="E9" s="11"/>
      <c r="F9" s="13"/>
      <c r="G9" s="13"/>
      <c r="I9" s="29" t="s">
        <v>41</v>
      </c>
      <c r="J9" s="25">
        <v>46052.125</v>
      </c>
      <c r="K9" s="21"/>
      <c r="M9" s="14"/>
      <c r="N9" s="14"/>
      <c r="O9" s="11"/>
      <c r="P9" s="11"/>
      <c r="R9" s="14"/>
    </row>
    <row r="10" spans="1:19" x14ac:dyDescent="0.3">
      <c r="B10" s="13"/>
      <c r="D10" s="11"/>
      <c r="E10" s="11"/>
      <c r="F10" s="13"/>
      <c r="G10" s="13"/>
      <c r="I10" s="29" t="s">
        <v>41</v>
      </c>
      <c r="J10" s="25">
        <v>46059.125</v>
      </c>
      <c r="K10" s="21"/>
      <c r="M10" s="14"/>
      <c r="N10" s="14"/>
      <c r="O10" s="11"/>
      <c r="P10" s="11"/>
      <c r="R10" s="14"/>
    </row>
    <row r="11" spans="1:19" x14ac:dyDescent="0.3">
      <c r="B11" s="13"/>
      <c r="D11" s="11"/>
      <c r="E11" s="11"/>
      <c r="F11" s="13"/>
      <c r="G11" s="13"/>
      <c r="I11" s="29" t="s">
        <v>41</v>
      </c>
      <c r="J11" s="25">
        <v>46080.125</v>
      </c>
      <c r="K11" s="21"/>
      <c r="M11" s="14"/>
      <c r="N11" s="14"/>
      <c r="O11" s="11"/>
      <c r="P11" s="11"/>
      <c r="R11" s="14"/>
    </row>
    <row r="12" spans="1:19" x14ac:dyDescent="0.3">
      <c r="B12" s="13"/>
      <c r="D12" s="11"/>
      <c r="E12" s="11"/>
      <c r="F12" s="13"/>
      <c r="G12" s="13"/>
      <c r="I12" s="29" t="s">
        <v>41</v>
      </c>
      <c r="J12" s="25">
        <v>46108.166666666664</v>
      </c>
      <c r="K12" s="21"/>
      <c r="M12" s="14"/>
      <c r="N12" s="14"/>
      <c r="O12" s="11"/>
      <c r="P12" s="11"/>
      <c r="R12" s="14"/>
    </row>
    <row r="13" spans="1:19" x14ac:dyDescent="0.3">
      <c r="B13" s="13"/>
      <c r="D13" s="11"/>
      <c r="E13" s="11"/>
      <c r="F13" s="13"/>
      <c r="G13" s="13"/>
      <c r="I13" s="29" t="s">
        <v>41</v>
      </c>
      <c r="J13" s="25">
        <v>46199.166666666664</v>
      </c>
      <c r="K13" s="21"/>
      <c r="M13" s="14"/>
      <c r="N13" s="14"/>
      <c r="O13" s="11"/>
      <c r="P13" s="11"/>
      <c r="R13" s="14"/>
    </row>
    <row r="14" spans="1:19" x14ac:dyDescent="0.3">
      <c r="B14" s="13"/>
      <c r="D14" s="11"/>
      <c r="E14" s="11"/>
      <c r="F14" s="13"/>
      <c r="G14" s="13"/>
      <c r="I14" s="29" t="s">
        <v>41</v>
      </c>
      <c r="J14" s="25">
        <v>46290.166666666664</v>
      </c>
      <c r="K14" s="22"/>
      <c r="M14" s="14"/>
      <c r="N14" s="14"/>
      <c r="O14" s="11"/>
      <c r="P14" s="11"/>
      <c r="R14" s="14"/>
    </row>
    <row r="15" spans="1:19" x14ac:dyDescent="0.3">
      <c r="B15" s="13"/>
      <c r="D15" s="11"/>
      <c r="E15" s="11"/>
      <c r="F15" s="13"/>
      <c r="G15" s="13"/>
      <c r="I15" s="29" t="s">
        <v>41</v>
      </c>
      <c r="J15" s="25">
        <v>46381.125</v>
      </c>
      <c r="K15" s="22"/>
      <c r="M15" s="14"/>
      <c r="N15" s="14"/>
      <c r="O15" s="11"/>
      <c r="P15" s="11"/>
      <c r="R15" s="14"/>
    </row>
    <row r="16" spans="1:19" x14ac:dyDescent="0.3">
      <c r="B16" s="13"/>
      <c r="D16" s="11"/>
      <c r="E16" s="11"/>
      <c r="F16" s="13"/>
      <c r="G16" s="13"/>
      <c r="I16" s="29"/>
      <c r="K16" s="22"/>
      <c r="M16" s="14"/>
      <c r="N16" s="14"/>
      <c r="O16" s="11"/>
      <c r="P16" s="11"/>
      <c r="R16" s="14"/>
    </row>
    <row r="17" spans="2:18" ht="15" thickBot="1" x14ac:dyDescent="0.35">
      <c r="B17" s="13"/>
      <c r="D17" s="11"/>
      <c r="E17" s="11"/>
      <c r="F17" s="13"/>
      <c r="G17" s="13"/>
      <c r="I17" s="30"/>
      <c r="J17" s="27"/>
      <c r="K17" s="23"/>
      <c r="M17" s="14"/>
      <c r="N17" s="14"/>
      <c r="O17" s="11"/>
      <c r="P17" s="11"/>
      <c r="R17" s="14"/>
    </row>
    <row r="18" spans="2:18" x14ac:dyDescent="0.3">
      <c r="I18" t="s">
        <v>42</v>
      </c>
    </row>
  </sheetData>
  <mergeCells count="2">
    <mergeCell ref="L1:Q1"/>
    <mergeCell ref="C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D323-D3BA-432F-988A-ADEF4CDB8BB9}">
  <dimension ref="A1:O11"/>
  <sheetViews>
    <sheetView workbookViewId="0">
      <selection activeCell="O7" sqref="O7"/>
    </sheetView>
  </sheetViews>
  <sheetFormatPr defaultRowHeight="14.4" x14ac:dyDescent="0.3"/>
  <cols>
    <col min="1" max="1" width="11.33203125" style="33" bestFit="1" customWidth="1"/>
    <col min="2" max="2" width="10.6640625" bestFit="1" customWidth="1"/>
    <col min="3" max="3" width="9.21875" bestFit="1" customWidth="1"/>
    <col min="4" max="4" width="19.21875" style="43" bestFit="1" customWidth="1"/>
    <col min="5" max="5" width="12" bestFit="1" customWidth="1"/>
    <col min="6" max="6" width="14.21875" style="36" bestFit="1" customWidth="1"/>
    <col min="7" max="7" width="14.44140625" style="36" bestFit="1" customWidth="1"/>
    <col min="8" max="8" width="12.21875" bestFit="1" customWidth="1"/>
    <col min="9" max="9" width="12.33203125" bestFit="1" customWidth="1"/>
    <col min="10" max="10" width="14.5546875" style="36" bestFit="1" customWidth="1"/>
    <col min="11" max="11" width="15.77734375" style="36" bestFit="1" customWidth="1"/>
    <col min="12" max="12" width="16.109375" style="36" bestFit="1" customWidth="1"/>
    <col min="13" max="13" width="14.77734375" style="36" bestFit="1" customWidth="1"/>
    <col min="14" max="14" width="12.5546875" bestFit="1" customWidth="1"/>
    <col min="15" max="15" width="17.88671875" style="41" bestFit="1" customWidth="1"/>
  </cols>
  <sheetData>
    <row r="1" spans="1:15" s="15" customFormat="1" x14ac:dyDescent="0.3">
      <c r="A1" s="37" t="s">
        <v>45</v>
      </c>
      <c r="B1" s="15" t="s">
        <v>24</v>
      </c>
      <c r="C1" s="15" t="s">
        <v>11</v>
      </c>
      <c r="D1" s="42" t="s">
        <v>20</v>
      </c>
      <c r="E1" s="15" t="s">
        <v>12</v>
      </c>
      <c r="F1" s="38" t="s">
        <v>13</v>
      </c>
      <c r="G1" s="38" t="s">
        <v>14</v>
      </c>
      <c r="H1" s="15" t="s">
        <v>15</v>
      </c>
      <c r="I1" s="15" t="s">
        <v>16</v>
      </c>
      <c r="J1" s="38" t="s">
        <v>17</v>
      </c>
      <c r="K1" s="38" t="s">
        <v>21</v>
      </c>
      <c r="L1" s="38" t="s">
        <v>22</v>
      </c>
      <c r="M1" s="38" t="s">
        <v>19</v>
      </c>
      <c r="N1" s="15" t="s">
        <v>18</v>
      </c>
      <c r="O1" s="39" t="s">
        <v>56</v>
      </c>
    </row>
    <row r="2" spans="1:15" x14ac:dyDescent="0.3">
      <c r="A2" s="32" t="s">
        <v>47</v>
      </c>
      <c r="B2" s="5">
        <f>Summary!J4</f>
        <v>46043.125</v>
      </c>
      <c r="C2" s="8">
        <v>1</v>
      </c>
      <c r="D2" s="44">
        <v>2.5000000000000001E-3</v>
      </c>
      <c r="E2" s="35"/>
      <c r="F2" s="36">
        <f>ETF!J2</f>
        <v>89495.794530750456</v>
      </c>
      <c r="G2" s="36">
        <f>ETF!M2</f>
        <v>89556.040774123554</v>
      </c>
      <c r="H2" s="35"/>
      <c r="I2" s="34">
        <f>E2</f>
        <v>0</v>
      </c>
      <c r="J2" s="36">
        <f>F2</f>
        <v>89495.794530750456</v>
      </c>
      <c r="K2" s="36">
        <f>J2-O2</f>
        <v>89271.979736619367</v>
      </c>
      <c r="L2" s="36">
        <f>-M2-O2</f>
        <v>-89779.855568254643</v>
      </c>
      <c r="M2" s="36">
        <f>G2</f>
        <v>89556.040774123554</v>
      </c>
      <c r="N2" s="34">
        <f>H2</f>
        <v>0</v>
      </c>
      <c r="O2" s="40">
        <f>AVERAGE(F2:G2)*D2</f>
        <v>223.8147941310925</v>
      </c>
    </row>
    <row r="3" spans="1:15" x14ac:dyDescent="0.3">
      <c r="A3" s="32" t="s">
        <v>54</v>
      </c>
      <c r="B3" s="5">
        <f>B2</f>
        <v>46043.125</v>
      </c>
      <c r="C3" s="8">
        <v>1</v>
      </c>
      <c r="D3" s="44">
        <v>2.5000000000000001E-3</v>
      </c>
      <c r="E3" s="35"/>
      <c r="F3" s="36">
        <f>ETF!J3</f>
        <v>90184.754018414387</v>
      </c>
      <c r="G3" s="36">
        <f>ETF!M3</f>
        <v>90203.159070254871</v>
      </c>
      <c r="H3" s="35"/>
      <c r="I3" s="34">
        <f t="shared" ref="I3:I11" si="0">E3</f>
        <v>0</v>
      </c>
      <c r="J3" s="36">
        <f t="shared" ref="J3:J11" si="1">F3</f>
        <v>90184.754018414387</v>
      </c>
      <c r="K3" s="36">
        <f t="shared" ref="K3:K10" si="2">J3-O3</f>
        <v>89959.269127053558</v>
      </c>
      <c r="L3" s="36">
        <f t="shared" ref="L3:L10" si="3">-M3-O3</f>
        <v>-90428.6439616157</v>
      </c>
      <c r="M3" s="36">
        <f t="shared" ref="M3:M11" si="4">G3</f>
        <v>90203.159070254871</v>
      </c>
      <c r="N3" s="34">
        <f t="shared" ref="N3:N11" si="5">H3</f>
        <v>0</v>
      </c>
      <c r="O3" s="40">
        <f t="shared" ref="O3:O11" si="6">AVERAGE(F3:G3)*D3</f>
        <v>225.48489136083657</v>
      </c>
    </row>
    <row r="4" spans="1:15" x14ac:dyDescent="0.3">
      <c r="A4" s="32" t="s">
        <v>53</v>
      </c>
      <c r="B4" s="5">
        <f t="shared" ref="B4:B11" si="7">B3</f>
        <v>46043.125</v>
      </c>
      <c r="C4" s="8">
        <v>1</v>
      </c>
      <c r="D4" s="44">
        <v>2.5000000000000001E-3</v>
      </c>
      <c r="E4" s="35"/>
      <c r="F4" s="36">
        <f>ETF!J4</f>
        <v>88252.791215309015</v>
      </c>
      <c r="G4" s="36">
        <f>ETF!M4</f>
        <v>88323.648534630818</v>
      </c>
      <c r="H4" s="35"/>
      <c r="I4" s="34">
        <f t="shared" si="0"/>
        <v>0</v>
      </c>
      <c r="J4" s="36">
        <f t="shared" si="1"/>
        <v>88252.791215309015</v>
      </c>
      <c r="K4" s="36">
        <f t="shared" si="2"/>
        <v>88032.070665621592</v>
      </c>
      <c r="L4" s="36">
        <f t="shared" si="3"/>
        <v>-88544.369084318241</v>
      </c>
      <c r="M4" s="36">
        <f t="shared" si="4"/>
        <v>88323.648534630818</v>
      </c>
      <c r="N4" s="34">
        <f t="shared" si="5"/>
        <v>0</v>
      </c>
      <c r="O4" s="40">
        <f t="shared" si="6"/>
        <v>220.72054968742481</v>
      </c>
    </row>
    <row r="5" spans="1:15" x14ac:dyDescent="0.3">
      <c r="A5" s="32" t="s">
        <v>50</v>
      </c>
      <c r="B5" s="5">
        <f t="shared" si="7"/>
        <v>46043.125</v>
      </c>
      <c r="C5" s="8">
        <v>1</v>
      </c>
      <c r="D5" s="44">
        <v>2.5000000000000001E-3</v>
      </c>
      <c r="E5" s="35"/>
      <c r="F5" s="36">
        <f>ETF!J5</f>
        <v>89537.941451897626</v>
      </c>
      <c r="G5" s="36">
        <f>ETF!M5</f>
        <v>89560.540629447336</v>
      </c>
      <c r="H5" s="35"/>
      <c r="I5" s="34">
        <f t="shared" si="0"/>
        <v>0</v>
      </c>
      <c r="J5" s="36">
        <f t="shared" si="1"/>
        <v>89537.941451897626</v>
      </c>
      <c r="K5" s="36">
        <f t="shared" si="2"/>
        <v>89314.068349295951</v>
      </c>
      <c r="L5" s="36">
        <f t="shared" si="3"/>
        <v>-89784.413732049012</v>
      </c>
      <c r="M5" s="36">
        <f t="shared" si="4"/>
        <v>89560.540629447336</v>
      </c>
      <c r="N5" s="34">
        <f t="shared" si="5"/>
        <v>0</v>
      </c>
      <c r="O5" s="40">
        <f t="shared" si="6"/>
        <v>223.87310260168121</v>
      </c>
    </row>
    <row r="6" spans="1:15" x14ac:dyDescent="0.3">
      <c r="A6" s="32" t="s">
        <v>49</v>
      </c>
      <c r="B6" s="5">
        <f t="shared" si="7"/>
        <v>46043.125</v>
      </c>
      <c r="C6" s="8">
        <v>1</v>
      </c>
      <c r="D6" s="44">
        <v>2.5000000000000001E-3</v>
      </c>
      <c r="E6" s="35"/>
      <c r="F6" s="36">
        <f>ETF!J6</f>
        <v>87643.826114441195</v>
      </c>
      <c r="G6" s="36">
        <f>ETF!M6</f>
        <v>87653.276602484591</v>
      </c>
      <c r="H6" s="35"/>
      <c r="I6" s="34">
        <f t="shared" si="0"/>
        <v>0</v>
      </c>
      <c r="J6" s="36">
        <f t="shared" si="1"/>
        <v>87643.826114441195</v>
      </c>
      <c r="K6" s="36">
        <f t="shared" si="2"/>
        <v>87424.704736045038</v>
      </c>
      <c r="L6" s="36">
        <f t="shared" si="3"/>
        <v>-87872.397980880749</v>
      </c>
      <c r="M6" s="36">
        <f t="shared" si="4"/>
        <v>87653.276602484591</v>
      </c>
      <c r="N6" s="34">
        <f t="shared" si="5"/>
        <v>0</v>
      </c>
      <c r="O6" s="40">
        <f t="shared" si="6"/>
        <v>219.12137839615724</v>
      </c>
    </row>
    <row r="7" spans="1:15" x14ac:dyDescent="0.3">
      <c r="A7" s="32" t="s">
        <v>25</v>
      </c>
      <c r="B7" s="5">
        <f t="shared" si="7"/>
        <v>46043.125</v>
      </c>
      <c r="C7" s="8">
        <v>1</v>
      </c>
      <c r="D7" s="44">
        <v>2.5000000000000001E-3</v>
      </c>
      <c r="E7" s="35"/>
      <c r="F7" s="36">
        <f>ETF!J7</f>
        <v>87573.600316721218</v>
      </c>
      <c r="G7" s="36">
        <f>ETF!M7</f>
        <v>87590.890267425406</v>
      </c>
      <c r="H7" s="35"/>
      <c r="I7" s="34">
        <f t="shared" si="0"/>
        <v>0</v>
      </c>
      <c r="J7" s="36">
        <f t="shared" si="1"/>
        <v>87573.600316721218</v>
      </c>
      <c r="K7" s="36">
        <f t="shared" si="2"/>
        <v>87354.644703491038</v>
      </c>
      <c r="L7" s="36">
        <f t="shared" si="3"/>
        <v>-87809.845880655586</v>
      </c>
      <c r="M7" s="36">
        <f t="shared" si="4"/>
        <v>87590.890267425406</v>
      </c>
      <c r="N7" s="34">
        <f t="shared" si="5"/>
        <v>0</v>
      </c>
      <c r="O7" s="40">
        <f t="shared" si="6"/>
        <v>218.9556132301833</v>
      </c>
    </row>
    <row r="8" spans="1:15" x14ac:dyDescent="0.3">
      <c r="A8" s="32" t="s">
        <v>55</v>
      </c>
      <c r="B8" s="5">
        <f t="shared" si="7"/>
        <v>46043.125</v>
      </c>
      <c r="C8" s="8">
        <v>1</v>
      </c>
      <c r="D8" s="44">
        <v>2.5000000000000001E-3</v>
      </c>
      <c r="E8" s="35"/>
      <c r="F8" s="36">
        <f>ETF!J8</f>
        <v>90104.226038410037</v>
      </c>
      <c r="G8" s="36">
        <f>ETF!M8</f>
        <v>90115.705746148407</v>
      </c>
      <c r="H8" s="35"/>
      <c r="I8" s="34">
        <f t="shared" si="0"/>
        <v>0</v>
      </c>
      <c r="J8" s="36">
        <f t="shared" si="1"/>
        <v>90104.226038410037</v>
      </c>
      <c r="K8" s="36">
        <f t="shared" si="2"/>
        <v>89878.951123679333</v>
      </c>
      <c r="L8" s="36">
        <f t="shared" si="3"/>
        <v>-90340.980660879111</v>
      </c>
      <c r="M8" s="36">
        <f t="shared" si="4"/>
        <v>90115.705746148407</v>
      </c>
      <c r="N8" s="34">
        <f t="shared" si="5"/>
        <v>0</v>
      </c>
      <c r="O8" s="40">
        <f t="shared" si="6"/>
        <v>225.27491473069807</v>
      </c>
    </row>
    <row r="9" spans="1:15" x14ac:dyDescent="0.3">
      <c r="A9" s="32" t="s">
        <v>48</v>
      </c>
      <c r="B9" s="5">
        <f t="shared" si="7"/>
        <v>46043.125</v>
      </c>
      <c r="C9" s="8">
        <v>1</v>
      </c>
      <c r="D9" s="44">
        <v>2.5000000000000001E-3</v>
      </c>
      <c r="E9" s="35"/>
      <c r="F9" s="36">
        <f>ETF!J9</f>
        <v>90180.129404859239</v>
      </c>
      <c r="G9" s="36">
        <f>ETF!M9</f>
        <v>90192.937263033484</v>
      </c>
      <c r="H9" s="35"/>
      <c r="I9" s="34">
        <f t="shared" si="0"/>
        <v>0</v>
      </c>
      <c r="J9" s="36">
        <f t="shared" si="1"/>
        <v>90180.129404859239</v>
      </c>
      <c r="K9" s="36">
        <f t="shared" si="2"/>
        <v>89954.663071524366</v>
      </c>
      <c r="L9" s="36">
        <f t="shared" si="3"/>
        <v>-90418.403596368356</v>
      </c>
      <c r="M9" s="36">
        <f t="shared" si="4"/>
        <v>90192.937263033484</v>
      </c>
      <c r="N9" s="34">
        <f t="shared" si="5"/>
        <v>0</v>
      </c>
      <c r="O9" s="40">
        <f t="shared" si="6"/>
        <v>225.46633333486594</v>
      </c>
    </row>
    <row r="10" spans="1:15" x14ac:dyDescent="0.3">
      <c r="A10" s="32" t="s">
        <v>52</v>
      </c>
      <c r="B10" s="5">
        <f t="shared" si="7"/>
        <v>46043.125</v>
      </c>
      <c r="C10" s="9">
        <v>1</v>
      </c>
      <c r="D10" s="44">
        <v>2.5000000000000001E-3</v>
      </c>
      <c r="E10" s="35"/>
      <c r="F10" s="36">
        <f>ETF!J10</f>
        <v>90073.905544824243</v>
      </c>
      <c r="G10" s="36">
        <f>ETF!M10</f>
        <v>90091.529083377332</v>
      </c>
      <c r="H10" s="35"/>
      <c r="I10" s="34">
        <f t="shared" si="0"/>
        <v>0</v>
      </c>
      <c r="J10" s="36">
        <f t="shared" si="1"/>
        <v>90073.905544824243</v>
      </c>
      <c r="K10" s="36">
        <f t="shared" si="2"/>
        <v>89848.698751538992</v>
      </c>
      <c r="L10" s="36">
        <f t="shared" si="3"/>
        <v>-90316.735876662584</v>
      </c>
      <c r="M10" s="36">
        <f t="shared" si="4"/>
        <v>90091.529083377332</v>
      </c>
      <c r="N10" s="34">
        <f t="shared" si="5"/>
        <v>0</v>
      </c>
      <c r="O10" s="40">
        <f t="shared" si="6"/>
        <v>225.20679328525199</v>
      </c>
    </row>
    <row r="11" spans="1:15" x14ac:dyDescent="0.3">
      <c r="A11" s="32" t="s">
        <v>51</v>
      </c>
      <c r="B11" s="5">
        <f t="shared" si="7"/>
        <v>46043.125</v>
      </c>
      <c r="C11" s="9">
        <v>1</v>
      </c>
      <c r="D11" s="44">
        <v>2.5000000000000001E-3</v>
      </c>
      <c r="E11" s="35"/>
      <c r="F11" s="36">
        <f>F8</f>
        <v>90104.226038410037</v>
      </c>
      <c r="G11" s="36">
        <f>G10</f>
        <v>90091.529083377332</v>
      </c>
      <c r="H11" s="35"/>
      <c r="I11" s="34">
        <f t="shared" si="0"/>
        <v>0</v>
      </c>
      <c r="J11" s="36">
        <f t="shared" si="1"/>
        <v>90104.226038410037</v>
      </c>
      <c r="K11" s="36">
        <f t="shared" ref="K11" si="8">J11-O11</f>
        <v>89878.981344507803</v>
      </c>
      <c r="L11" s="36">
        <f t="shared" ref="L11" si="9">-M11-O11</f>
        <v>-90316.773777279566</v>
      </c>
      <c r="M11" s="36">
        <f t="shared" si="4"/>
        <v>90091.529083377332</v>
      </c>
      <c r="N11" s="34">
        <f t="shared" si="5"/>
        <v>0</v>
      </c>
      <c r="O11" s="40">
        <f t="shared" si="6"/>
        <v>225.24469390223422</v>
      </c>
    </row>
  </sheetData>
  <sortState xmlns:xlrd2="http://schemas.microsoft.com/office/spreadsheetml/2017/richdata2" ref="E14:E23">
    <sortCondition ref="E14:E23"/>
  </sortState>
  <conditionalFormatting sqref="K1:K1048576">
    <cfRule type="top10" dxfId="5" priority="2" rank="1"/>
  </conditionalFormatting>
  <conditionalFormatting sqref="L1:L1048576">
    <cfRule type="top10" dxfId="4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40DC-5A0A-49F1-A126-BD3B34943C93}">
  <dimension ref="A1:O10"/>
  <sheetViews>
    <sheetView workbookViewId="0">
      <selection activeCell="O1" sqref="O1:O1048576"/>
    </sheetView>
  </sheetViews>
  <sheetFormatPr defaultRowHeight="14.4" x14ac:dyDescent="0.3"/>
  <cols>
    <col min="1" max="1" width="7.5546875" style="33" bestFit="1" customWidth="1"/>
    <col min="2" max="2" width="10.6640625" bestFit="1" customWidth="1"/>
    <col min="3" max="3" width="9.21875" bestFit="1" customWidth="1"/>
    <col min="4" max="4" width="19.21875" style="43" bestFit="1" customWidth="1"/>
    <col min="5" max="5" width="12" bestFit="1" customWidth="1"/>
    <col min="6" max="6" width="14.21875" style="36" bestFit="1" customWidth="1"/>
    <col min="7" max="7" width="14.44140625" style="36" bestFit="1" customWidth="1"/>
    <col min="8" max="8" width="12.21875" bestFit="1" customWidth="1"/>
    <col min="9" max="9" width="12.33203125" bestFit="1" customWidth="1"/>
    <col min="10" max="10" width="14.5546875" style="36" bestFit="1" customWidth="1"/>
    <col min="11" max="11" width="15.77734375" style="36" bestFit="1" customWidth="1"/>
    <col min="12" max="12" width="16.109375" style="36" bestFit="1" customWidth="1"/>
    <col min="13" max="13" width="14.77734375" style="36" bestFit="1" customWidth="1"/>
    <col min="14" max="14" width="12.5546875" bestFit="1" customWidth="1"/>
    <col min="15" max="15" width="17.88671875" style="41" bestFit="1" customWidth="1"/>
  </cols>
  <sheetData>
    <row r="1" spans="1:15" s="15" customFormat="1" x14ac:dyDescent="0.3">
      <c r="A1" s="37" t="s">
        <v>45</v>
      </c>
      <c r="B1" s="15" t="s">
        <v>24</v>
      </c>
      <c r="C1" s="15" t="s">
        <v>11</v>
      </c>
      <c r="D1" s="42" t="s">
        <v>20</v>
      </c>
      <c r="E1" s="15" t="s">
        <v>12</v>
      </c>
      <c r="F1" s="38" t="s">
        <v>13</v>
      </c>
      <c r="G1" s="38" t="s">
        <v>14</v>
      </c>
      <c r="H1" s="15" t="s">
        <v>15</v>
      </c>
      <c r="I1" s="15" t="s">
        <v>16</v>
      </c>
      <c r="J1" s="38" t="s">
        <v>17</v>
      </c>
      <c r="K1" s="38" t="s">
        <v>21</v>
      </c>
      <c r="L1" s="38" t="s">
        <v>22</v>
      </c>
      <c r="M1" s="38" t="s">
        <v>19</v>
      </c>
      <c r="N1" s="15" t="s">
        <v>18</v>
      </c>
      <c r="O1" s="39" t="s">
        <v>56</v>
      </c>
    </row>
    <row r="2" spans="1:15" x14ac:dyDescent="0.3">
      <c r="A2" s="32" t="s">
        <v>26</v>
      </c>
      <c r="B2" s="5">
        <f>Summary!J6</f>
        <v>46044.125</v>
      </c>
      <c r="C2" s="8">
        <f>1004.10405621845*3</f>
        <v>3012.31216865535</v>
      </c>
      <c r="D2" s="43">
        <v>2E-3</v>
      </c>
      <c r="E2" s="35">
        <v>1000</v>
      </c>
      <c r="F2" s="36">
        <v>29.71</v>
      </c>
      <c r="G2" s="36">
        <v>29.73</v>
      </c>
      <c r="H2" s="35">
        <v>1000</v>
      </c>
      <c r="I2" s="34">
        <f>E2/C2</f>
        <v>0.33197090607192437</v>
      </c>
      <c r="J2" s="36">
        <f>F2*C2</f>
        <v>89495.794530750456</v>
      </c>
      <c r="K2" s="36">
        <f>J2-O2</f>
        <v>89489.769906413145</v>
      </c>
      <c r="L2" s="36">
        <f>-M2-O2</f>
        <v>-89562.065398460865</v>
      </c>
      <c r="M2" s="36">
        <f>G2*C2</f>
        <v>89556.040774123554</v>
      </c>
      <c r="N2" s="34">
        <f>H2/C2</f>
        <v>0.33197090607192437</v>
      </c>
      <c r="O2" s="40">
        <f>C2*D2</f>
        <v>6.0246243373107005</v>
      </c>
    </row>
    <row r="3" spans="1:15" x14ac:dyDescent="0.3">
      <c r="A3" s="32" t="s">
        <v>27</v>
      </c>
      <c r="B3" s="5">
        <f>B2</f>
        <v>46044.125</v>
      </c>
      <c r="C3" s="8">
        <v>1840.5051840492731</v>
      </c>
      <c r="D3" s="43">
        <f>D2</f>
        <v>2E-3</v>
      </c>
      <c r="E3" s="35">
        <v>1000</v>
      </c>
      <c r="F3" s="36">
        <v>49</v>
      </c>
      <c r="G3" s="36">
        <v>49.01</v>
      </c>
      <c r="H3" s="35">
        <v>1000</v>
      </c>
      <c r="I3" s="34">
        <f t="shared" ref="I3:I10" si="0">E3/C3</f>
        <v>0.54332908631091825</v>
      </c>
      <c r="J3" s="36">
        <f t="shared" ref="J3:J10" si="1">F3*C3</f>
        <v>90184.754018414387</v>
      </c>
      <c r="K3" s="36">
        <f t="shared" ref="K3:K10" si="2">J3-O3</f>
        <v>90181.073008046282</v>
      </c>
      <c r="L3" s="36">
        <f t="shared" ref="L3:L10" si="3">-M3-O3</f>
        <v>-90206.840080622977</v>
      </c>
      <c r="M3" s="36">
        <f t="shared" ref="M3:M10" si="4">G3*C3</f>
        <v>90203.159070254871</v>
      </c>
      <c r="N3" s="34">
        <f t="shared" ref="N3:N10" si="5">H3/C3</f>
        <v>0.54332908631091825</v>
      </c>
      <c r="O3" s="40">
        <f t="shared" ref="O3:O10" si="6">C3*D3</f>
        <v>3.6810103680985464</v>
      </c>
    </row>
    <row r="4" spans="1:15" x14ac:dyDescent="0.3">
      <c r="A4" s="32" t="s">
        <v>28</v>
      </c>
      <c r="B4" s="5">
        <f t="shared" ref="B4:B10" si="7">B3</f>
        <v>46044.125</v>
      </c>
      <c r="C4" s="8">
        <v>3542.8659660902854</v>
      </c>
      <c r="D4" s="43">
        <f t="shared" ref="D4:D10" si="8">D3</f>
        <v>2E-3</v>
      </c>
      <c r="E4" s="35">
        <v>1000</v>
      </c>
      <c r="F4" s="36">
        <v>24.91</v>
      </c>
      <c r="G4" s="36">
        <v>24.93</v>
      </c>
      <c r="H4" s="35">
        <v>1000</v>
      </c>
      <c r="I4" s="34">
        <f t="shared" si="0"/>
        <v>0.28225736157429226</v>
      </c>
      <c r="J4" s="36">
        <f t="shared" si="1"/>
        <v>88252.791215309015</v>
      </c>
      <c r="K4" s="36">
        <f t="shared" si="2"/>
        <v>88245.705483376834</v>
      </c>
      <c r="L4" s="36">
        <f t="shared" si="3"/>
        <v>-88330.734266562999</v>
      </c>
      <c r="M4" s="36">
        <f t="shared" si="4"/>
        <v>88323.648534630818</v>
      </c>
      <c r="N4" s="34">
        <f t="shared" si="5"/>
        <v>0.28225736157429226</v>
      </c>
      <c r="O4" s="40">
        <f t="shared" si="6"/>
        <v>7.085731932180571</v>
      </c>
    </row>
    <row r="5" spans="1:15" x14ac:dyDescent="0.3">
      <c r="A5" s="32" t="s">
        <v>29</v>
      </c>
      <c r="B5" s="5">
        <f t="shared" si="7"/>
        <v>46044.125</v>
      </c>
      <c r="C5" s="8">
        <v>2259.9177549696524</v>
      </c>
      <c r="D5" s="43">
        <f t="shared" si="8"/>
        <v>2E-3</v>
      </c>
      <c r="E5" s="35">
        <v>1000</v>
      </c>
      <c r="F5" s="36">
        <v>39.619999999999997</v>
      </c>
      <c r="G5" s="36">
        <v>39.630000000000003</v>
      </c>
      <c r="H5" s="35">
        <v>1000</v>
      </c>
      <c r="I5" s="34">
        <f t="shared" si="0"/>
        <v>0.44249397917289635</v>
      </c>
      <c r="J5" s="36">
        <f t="shared" si="1"/>
        <v>89537.941451897626</v>
      </c>
      <c r="K5" s="36">
        <f t="shared" si="2"/>
        <v>89533.421616387684</v>
      </c>
      <c r="L5" s="36">
        <f t="shared" si="3"/>
        <v>-89565.060464957278</v>
      </c>
      <c r="M5" s="36">
        <f t="shared" si="4"/>
        <v>89560.540629447336</v>
      </c>
      <c r="N5" s="34">
        <f t="shared" si="5"/>
        <v>0.44249397917289635</v>
      </c>
      <c r="O5" s="40">
        <f t="shared" si="6"/>
        <v>4.5198355099393046</v>
      </c>
    </row>
    <row r="6" spans="1:15" x14ac:dyDescent="0.3">
      <c r="A6" s="32" t="s">
        <v>30</v>
      </c>
      <c r="B6" s="5">
        <f t="shared" si="7"/>
        <v>46044.125</v>
      </c>
      <c r="C6" s="8">
        <v>945.04880433945652</v>
      </c>
      <c r="D6" s="43">
        <f t="shared" si="8"/>
        <v>2E-3</v>
      </c>
      <c r="E6" s="35">
        <v>1000</v>
      </c>
      <c r="F6" s="36">
        <v>92.74</v>
      </c>
      <c r="G6" s="36">
        <v>92.75</v>
      </c>
      <c r="H6" s="35">
        <v>1000</v>
      </c>
      <c r="I6" s="34">
        <f t="shared" si="0"/>
        <v>1.0581464104374501</v>
      </c>
      <c r="J6" s="36">
        <f t="shared" si="1"/>
        <v>87643.826114441195</v>
      </c>
      <c r="K6" s="36">
        <f t="shared" si="2"/>
        <v>87641.936016832522</v>
      </c>
      <c r="L6" s="36">
        <f t="shared" si="3"/>
        <v>-87655.166700093265</v>
      </c>
      <c r="M6" s="36">
        <f t="shared" si="4"/>
        <v>87653.276602484591</v>
      </c>
      <c r="N6" s="34">
        <f t="shared" si="5"/>
        <v>1.0581464104374501</v>
      </c>
      <c r="O6" s="40">
        <f t="shared" si="6"/>
        <v>1.8900976086789132</v>
      </c>
    </row>
    <row r="7" spans="1:15" x14ac:dyDescent="0.3">
      <c r="A7" s="32" t="s">
        <v>31</v>
      </c>
      <c r="B7" s="5">
        <f t="shared" si="7"/>
        <v>46044.125</v>
      </c>
      <c r="C7" s="8">
        <v>1728.9950704189778</v>
      </c>
      <c r="D7" s="43">
        <f t="shared" si="8"/>
        <v>2E-3</v>
      </c>
      <c r="E7" s="35">
        <v>1000</v>
      </c>
      <c r="F7" s="36">
        <v>50.65</v>
      </c>
      <c r="G7" s="36">
        <v>50.66</v>
      </c>
      <c r="H7" s="35">
        <v>1000</v>
      </c>
      <c r="I7" s="34">
        <f t="shared" si="0"/>
        <v>0.57837064842392849</v>
      </c>
      <c r="J7" s="36">
        <f t="shared" si="1"/>
        <v>87573.600316721218</v>
      </c>
      <c r="K7" s="36">
        <f t="shared" si="2"/>
        <v>87570.142326580375</v>
      </c>
      <c r="L7" s="36">
        <f t="shared" si="3"/>
        <v>-87594.348257566249</v>
      </c>
      <c r="M7" s="36">
        <f t="shared" si="4"/>
        <v>87590.890267425406</v>
      </c>
      <c r="N7" s="34">
        <f t="shared" si="5"/>
        <v>0.57837064842392849</v>
      </c>
      <c r="O7" s="40">
        <f t="shared" si="6"/>
        <v>3.4579901408379556</v>
      </c>
    </row>
    <row r="8" spans="1:15" x14ac:dyDescent="0.3">
      <c r="A8" s="32" t="s">
        <v>32</v>
      </c>
      <c r="B8" s="5">
        <f t="shared" si="7"/>
        <v>46044.125</v>
      </c>
      <c r="C8" s="8">
        <v>1147.9707738362854</v>
      </c>
      <c r="D8" s="43">
        <f t="shared" si="8"/>
        <v>2E-3</v>
      </c>
      <c r="E8" s="35">
        <v>1000</v>
      </c>
      <c r="F8" s="36">
        <v>78.489999999999995</v>
      </c>
      <c r="G8" s="36">
        <v>78.5</v>
      </c>
      <c r="H8" s="35">
        <v>1000</v>
      </c>
      <c r="I8" s="34">
        <f t="shared" si="0"/>
        <v>0.87110231618371514</v>
      </c>
      <c r="J8" s="36">
        <f t="shared" si="1"/>
        <v>90104.226038410037</v>
      </c>
      <c r="K8" s="36">
        <f t="shared" si="2"/>
        <v>90101.930096862357</v>
      </c>
      <c r="L8" s="36">
        <f t="shared" si="3"/>
        <v>-90118.001687696087</v>
      </c>
      <c r="M8" s="36">
        <f t="shared" si="4"/>
        <v>90115.705746148407</v>
      </c>
      <c r="N8" s="34">
        <f t="shared" si="5"/>
        <v>0.87110231618371514</v>
      </c>
      <c r="O8" s="40">
        <f t="shared" si="6"/>
        <v>2.2959415476725709</v>
      </c>
    </row>
    <row r="9" spans="1:15" x14ac:dyDescent="0.3">
      <c r="A9" s="32" t="s">
        <v>33</v>
      </c>
      <c r="B9" s="5">
        <f t="shared" si="7"/>
        <v>46044.125</v>
      </c>
      <c r="C9" s="8">
        <v>1280.7858174245027</v>
      </c>
      <c r="D9" s="43">
        <f t="shared" si="8"/>
        <v>2E-3</v>
      </c>
      <c r="E9" s="35">
        <v>1000</v>
      </c>
      <c r="F9" s="36">
        <v>70.41</v>
      </c>
      <c r="G9" s="36">
        <v>70.42</v>
      </c>
      <c r="H9" s="35">
        <v>1000</v>
      </c>
      <c r="I9" s="34">
        <f t="shared" si="0"/>
        <v>0.7807706693777049</v>
      </c>
      <c r="J9" s="36">
        <f t="shared" si="1"/>
        <v>90180.129404859239</v>
      </c>
      <c r="K9" s="36">
        <f t="shared" si="2"/>
        <v>90177.567833224384</v>
      </c>
      <c r="L9" s="36">
        <f t="shared" si="3"/>
        <v>-90195.498834668339</v>
      </c>
      <c r="M9" s="36">
        <f t="shared" si="4"/>
        <v>90192.937263033484</v>
      </c>
      <c r="N9" s="34">
        <f t="shared" si="5"/>
        <v>0.7807706693777049</v>
      </c>
      <c r="O9" s="40">
        <f t="shared" si="6"/>
        <v>2.5615716348490056</v>
      </c>
    </row>
    <row r="10" spans="1:15" x14ac:dyDescent="0.3">
      <c r="A10" s="32" t="s">
        <v>23</v>
      </c>
      <c r="B10" s="5">
        <f t="shared" si="7"/>
        <v>46044.125</v>
      </c>
      <c r="C10" s="9">
        <v>1762.3538553086332</v>
      </c>
      <c r="D10" s="43">
        <f t="shared" si="8"/>
        <v>2E-3</v>
      </c>
      <c r="E10" s="35">
        <v>1000</v>
      </c>
      <c r="F10" s="36">
        <v>51.11</v>
      </c>
      <c r="G10" s="36">
        <v>51.12</v>
      </c>
      <c r="H10" s="35">
        <v>1000</v>
      </c>
      <c r="I10" s="34">
        <f t="shared" si="0"/>
        <v>0.5674229366524548</v>
      </c>
      <c r="J10" s="36">
        <f t="shared" si="1"/>
        <v>90073.905544824243</v>
      </c>
      <c r="K10" s="36">
        <f t="shared" si="2"/>
        <v>90070.380837113626</v>
      </c>
      <c r="L10" s="36">
        <f t="shared" si="3"/>
        <v>-90095.05379108795</v>
      </c>
      <c r="M10" s="36">
        <f t="shared" si="4"/>
        <v>90091.529083377332</v>
      </c>
      <c r="N10" s="34">
        <f t="shared" si="5"/>
        <v>0.5674229366524548</v>
      </c>
      <c r="O10" s="40">
        <f t="shared" si="6"/>
        <v>3.5247077106172666</v>
      </c>
    </row>
  </sheetData>
  <conditionalFormatting sqref="K1:K1048576">
    <cfRule type="top10" dxfId="3" priority="2" rank="1"/>
  </conditionalFormatting>
  <conditionalFormatting sqref="L1:L1048576">
    <cfRule type="top10" dxfId="2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B78D-8406-4AD9-A31A-B72FB31D5168}">
  <dimension ref="A1:O10"/>
  <sheetViews>
    <sheetView workbookViewId="0">
      <selection activeCell="L19" sqref="L19"/>
    </sheetView>
  </sheetViews>
  <sheetFormatPr defaultRowHeight="14.4" x14ac:dyDescent="0.3"/>
  <cols>
    <col min="1" max="1" width="7.5546875" style="33" bestFit="1" customWidth="1"/>
    <col min="2" max="2" width="10.6640625" bestFit="1" customWidth="1"/>
    <col min="3" max="3" width="9.21875" bestFit="1" customWidth="1"/>
    <col min="4" max="4" width="19.21875" style="43" bestFit="1" customWidth="1"/>
    <col min="5" max="5" width="12" bestFit="1" customWidth="1"/>
    <col min="6" max="6" width="14.21875" style="36" bestFit="1" customWidth="1"/>
    <col min="7" max="7" width="14.44140625" style="36" bestFit="1" customWidth="1"/>
    <col min="8" max="8" width="12.21875" bestFit="1" customWidth="1"/>
    <col min="9" max="9" width="12.33203125" bestFit="1" customWidth="1"/>
    <col min="10" max="10" width="14.5546875" style="36" bestFit="1" customWidth="1"/>
    <col min="11" max="11" width="15.77734375" style="36" bestFit="1" customWidth="1"/>
    <col min="12" max="12" width="16.109375" style="36" bestFit="1" customWidth="1"/>
    <col min="13" max="13" width="14.77734375" style="36" bestFit="1" customWidth="1"/>
    <col min="14" max="14" width="12.5546875" bestFit="1" customWidth="1"/>
    <col min="15" max="15" width="17.88671875" style="41" bestFit="1" customWidth="1"/>
  </cols>
  <sheetData>
    <row r="1" spans="1:15" s="15" customFormat="1" x14ac:dyDescent="0.3">
      <c r="A1" s="37" t="s">
        <v>45</v>
      </c>
      <c r="B1" s="15" t="s">
        <v>24</v>
      </c>
      <c r="C1" s="15" t="s">
        <v>11</v>
      </c>
      <c r="D1" s="42" t="s">
        <v>20</v>
      </c>
      <c r="E1" s="15" t="s">
        <v>12</v>
      </c>
      <c r="F1" s="38" t="s">
        <v>13</v>
      </c>
      <c r="G1" s="38" t="s">
        <v>14</v>
      </c>
      <c r="H1" s="15" t="s">
        <v>15</v>
      </c>
      <c r="I1" s="15" t="s">
        <v>16</v>
      </c>
      <c r="J1" s="38" t="s">
        <v>17</v>
      </c>
      <c r="K1" s="38" t="s">
        <v>21</v>
      </c>
      <c r="L1" s="38" t="s">
        <v>22</v>
      </c>
      <c r="M1" s="38" t="s">
        <v>19</v>
      </c>
      <c r="N1" s="15" t="s">
        <v>18</v>
      </c>
      <c r="O1" s="39"/>
    </row>
    <row r="2" spans="1:15" x14ac:dyDescent="0.3">
      <c r="A2" s="32" t="s">
        <v>43</v>
      </c>
      <c r="B2" s="5">
        <f>Summary!J6</f>
        <v>46044.125</v>
      </c>
      <c r="C2" s="8">
        <v>5</v>
      </c>
      <c r="D2" s="43">
        <v>5</v>
      </c>
      <c r="E2" s="35"/>
      <c r="H2" s="35"/>
      <c r="I2" s="34">
        <f>E2</f>
        <v>0</v>
      </c>
      <c r="J2" s="36">
        <f>E2</f>
        <v>0</v>
      </c>
      <c r="K2" s="36">
        <f>J2-O2</f>
        <v>0</v>
      </c>
      <c r="L2" s="36">
        <f>-M2-O2</f>
        <v>0</v>
      </c>
      <c r="N2" s="34">
        <f>D2/C2</f>
        <v>1</v>
      </c>
      <c r="O2" s="40"/>
    </row>
    <row r="3" spans="1:15" x14ac:dyDescent="0.3">
      <c r="A3" s="32" t="s">
        <v>43</v>
      </c>
      <c r="B3" s="5">
        <f>B2</f>
        <v>46044.125</v>
      </c>
      <c r="C3" s="8">
        <v>5</v>
      </c>
      <c r="D3" s="43">
        <v>5</v>
      </c>
      <c r="E3" s="35"/>
      <c r="H3" s="35"/>
      <c r="I3" s="34"/>
      <c r="K3" s="36">
        <f t="shared" ref="K3:K4" si="0">J3-O3</f>
        <v>0</v>
      </c>
      <c r="L3" s="36">
        <f t="shared" ref="L3:L4" si="1">-M3-O3</f>
        <v>0</v>
      </c>
      <c r="N3" s="34">
        <f t="shared" ref="N3:N4" si="2">D3/C3</f>
        <v>1</v>
      </c>
      <c r="O3" s="40"/>
    </row>
    <row r="4" spans="1:15" x14ac:dyDescent="0.3">
      <c r="A4" s="32" t="s">
        <v>43</v>
      </c>
      <c r="B4" s="5">
        <f t="shared" ref="B4" si="3">B3</f>
        <v>46044.125</v>
      </c>
      <c r="C4" s="8">
        <v>5</v>
      </c>
      <c r="D4" s="43">
        <v>5</v>
      </c>
      <c r="E4" s="35"/>
      <c r="H4" s="35"/>
      <c r="I4" s="34"/>
      <c r="K4" s="36">
        <f t="shared" si="0"/>
        <v>0</v>
      </c>
      <c r="L4" s="36">
        <f t="shared" si="1"/>
        <v>0</v>
      </c>
      <c r="N4" s="34">
        <f t="shared" si="2"/>
        <v>1</v>
      </c>
      <c r="O4" s="40"/>
    </row>
    <row r="5" spans="1:15" x14ac:dyDescent="0.3">
      <c r="A5" s="32"/>
      <c r="B5" s="5"/>
      <c r="C5" s="8"/>
      <c r="E5" s="35"/>
      <c r="H5" s="35"/>
      <c r="I5" s="34"/>
      <c r="N5" s="34"/>
      <c r="O5" s="40"/>
    </row>
    <row r="6" spans="1:15" x14ac:dyDescent="0.3">
      <c r="A6" s="32"/>
      <c r="B6" s="5"/>
      <c r="C6" s="8"/>
      <c r="E6" s="35"/>
      <c r="H6" s="35"/>
      <c r="I6" s="34"/>
      <c r="N6" s="34"/>
      <c r="O6" s="40"/>
    </row>
    <row r="7" spans="1:15" x14ac:dyDescent="0.3">
      <c r="A7" s="32"/>
      <c r="B7" s="5"/>
      <c r="C7" s="8"/>
      <c r="E7" s="35"/>
      <c r="H7" s="35"/>
      <c r="I7" s="34"/>
      <c r="N7" s="34"/>
      <c r="O7" s="40"/>
    </row>
    <row r="8" spans="1:15" x14ac:dyDescent="0.3">
      <c r="A8" s="32"/>
      <c r="B8" s="5"/>
      <c r="C8" s="8"/>
      <c r="E8" s="35"/>
      <c r="H8" s="35"/>
      <c r="I8" s="34"/>
      <c r="N8" s="34"/>
      <c r="O8" s="40"/>
    </row>
    <row r="9" spans="1:15" x14ac:dyDescent="0.3">
      <c r="A9" s="32"/>
      <c r="B9" s="5"/>
      <c r="C9" s="8"/>
      <c r="E9" s="35"/>
      <c r="H9" s="35"/>
      <c r="I9" s="34"/>
      <c r="N9" s="34"/>
      <c r="O9" s="40"/>
    </row>
    <row r="10" spans="1:15" x14ac:dyDescent="0.3">
      <c r="A10" s="32"/>
      <c r="B10" s="5"/>
      <c r="C10" s="9"/>
      <c r="E10" s="35"/>
      <c r="H10" s="35"/>
      <c r="I10" s="34"/>
      <c r="N10" s="34"/>
      <c r="O10" s="40"/>
    </row>
  </sheetData>
  <conditionalFormatting sqref="K1:K1048576">
    <cfRule type="top10" dxfId="1" priority="2" rank="1"/>
  </conditionalFormatting>
  <conditionalFormatting sqref="L1:L1048576">
    <cfRule type="top10" dxfId="0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B24E-9CE3-4E2D-8EC2-DDC6A3C7E0F4}">
  <dimension ref="A1:N12"/>
  <sheetViews>
    <sheetView workbookViewId="0">
      <selection activeCell="F22" sqref="F22"/>
    </sheetView>
  </sheetViews>
  <sheetFormatPr defaultRowHeight="14.4" x14ac:dyDescent="0.3"/>
  <cols>
    <col min="1" max="1" width="11.33203125" bestFit="1" customWidth="1"/>
    <col min="2" max="2" width="11.5546875" customWidth="1"/>
    <col min="3" max="3" width="11.21875" bestFit="1" customWidth="1"/>
    <col min="4" max="4" width="10.33203125" customWidth="1"/>
  </cols>
  <sheetData>
    <row r="1" spans="1:14" s="7" customFormat="1" ht="28.8" x14ac:dyDescent="0.3">
      <c r="A1" s="31" t="s">
        <v>45</v>
      </c>
      <c r="B1" s="7" t="s">
        <v>24</v>
      </c>
      <c r="C1" s="7" t="s">
        <v>11</v>
      </c>
      <c r="D1" s="7" t="s">
        <v>20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21</v>
      </c>
      <c r="L1" s="7" t="s">
        <v>22</v>
      </c>
      <c r="M1" s="7" t="s">
        <v>19</v>
      </c>
      <c r="N1" s="7" t="s">
        <v>18</v>
      </c>
    </row>
    <row r="2" spans="1:14" x14ac:dyDescent="0.3">
      <c r="A2" s="6" t="s">
        <v>44</v>
      </c>
      <c r="B2" s="5">
        <f>Summary!J6</f>
        <v>46044.125</v>
      </c>
      <c r="C2" s="8">
        <v>1002.4142329922622</v>
      </c>
    </row>
    <row r="3" spans="1:14" x14ac:dyDescent="0.3">
      <c r="A3" s="6" t="s">
        <v>44</v>
      </c>
      <c r="B3" s="5">
        <f>B2</f>
        <v>46044.125</v>
      </c>
      <c r="C3" s="8">
        <v>1837.5952387123532</v>
      </c>
    </row>
    <row r="4" spans="1:14" x14ac:dyDescent="0.3">
      <c r="A4" s="6" t="s">
        <v>44</v>
      </c>
      <c r="B4" s="5">
        <f t="shared" ref="B4:B12" si="0">B3</f>
        <v>46044.125</v>
      </c>
      <c r="C4" s="8">
        <v>3535.9393998686251</v>
      </c>
    </row>
    <row r="5" spans="1:14" x14ac:dyDescent="0.3">
      <c r="A5" s="6" t="s">
        <v>44</v>
      </c>
      <c r="B5" s="5">
        <f t="shared" si="0"/>
        <v>46044.125</v>
      </c>
      <c r="C5" s="8">
        <v>2257.1998389991313</v>
      </c>
    </row>
    <row r="6" spans="1:14" x14ac:dyDescent="0.3">
      <c r="A6" s="6" t="s">
        <v>44</v>
      </c>
      <c r="B6" s="5">
        <f t="shared" si="0"/>
        <v>46044.125</v>
      </c>
      <c r="C6" s="8">
        <v>603.6446469248292</v>
      </c>
    </row>
    <row r="7" spans="1:14" x14ac:dyDescent="0.3">
      <c r="A7" s="6" t="s">
        <v>44</v>
      </c>
      <c r="B7" s="5">
        <f t="shared" si="0"/>
        <v>46044.125</v>
      </c>
      <c r="C7" s="8">
        <v>943.19471609617153</v>
      </c>
    </row>
    <row r="8" spans="1:14" x14ac:dyDescent="0.3">
      <c r="A8" s="6" t="s">
        <v>44</v>
      </c>
      <c r="B8" s="5">
        <f t="shared" si="0"/>
        <v>46044.125</v>
      </c>
      <c r="C8" s="8">
        <v>1726.3620136162924</v>
      </c>
    </row>
    <row r="9" spans="1:14" x14ac:dyDescent="0.3">
      <c r="A9" s="6" t="s">
        <v>44</v>
      </c>
      <c r="B9" s="5">
        <f t="shared" si="0"/>
        <v>46044.125</v>
      </c>
      <c r="C9" s="8">
        <v>1145.7185736264853</v>
      </c>
    </row>
    <row r="10" spans="1:14" x14ac:dyDescent="0.3">
      <c r="A10" s="6" t="s">
        <v>44</v>
      </c>
      <c r="B10" s="5">
        <f t="shared" si="0"/>
        <v>46044.125</v>
      </c>
      <c r="C10" s="8">
        <v>1265.5472417329511</v>
      </c>
    </row>
    <row r="11" spans="1:14" x14ac:dyDescent="0.3">
      <c r="A11" s="6" t="s">
        <v>44</v>
      </c>
      <c r="B11" s="5">
        <f t="shared" si="0"/>
        <v>46044.125</v>
      </c>
      <c r="C11" s="8">
        <v>3535.8033341609098</v>
      </c>
    </row>
    <row r="12" spans="1:14" x14ac:dyDescent="0.3">
      <c r="A12" s="6" t="s">
        <v>44</v>
      </c>
      <c r="B12" s="5">
        <f t="shared" si="0"/>
        <v>46044.125</v>
      </c>
      <c r="C12" s="9">
        <v>1759.3980665568179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9A15-F66B-46FC-8810-9F0421182A93}">
  <dimension ref="A1:N12"/>
  <sheetViews>
    <sheetView workbookViewId="0">
      <selection activeCell="D15" sqref="D15"/>
    </sheetView>
  </sheetViews>
  <sheetFormatPr defaultRowHeight="14.4" x14ac:dyDescent="0.3"/>
  <cols>
    <col min="1" max="1" width="11.33203125" bestFit="1" customWidth="1"/>
    <col min="2" max="2" width="11.5546875" customWidth="1"/>
    <col min="3" max="3" width="11.21875" bestFit="1" customWidth="1"/>
    <col min="4" max="4" width="10.33203125" customWidth="1"/>
  </cols>
  <sheetData>
    <row r="1" spans="1:14" s="7" customFormat="1" ht="28.8" x14ac:dyDescent="0.3">
      <c r="A1" s="31" t="s">
        <v>45</v>
      </c>
      <c r="B1" s="7" t="s">
        <v>24</v>
      </c>
      <c r="C1" s="7" t="s">
        <v>11</v>
      </c>
      <c r="D1" s="7" t="s">
        <v>20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21</v>
      </c>
      <c r="L1" s="7" t="s">
        <v>22</v>
      </c>
      <c r="M1" s="7" t="s">
        <v>19</v>
      </c>
      <c r="N1" s="7" t="s">
        <v>18</v>
      </c>
    </row>
    <row r="2" spans="1:14" x14ac:dyDescent="0.3">
      <c r="A2" s="6" t="s">
        <v>46</v>
      </c>
      <c r="B2" s="5">
        <f>Summary!J6</f>
        <v>46044.125</v>
      </c>
      <c r="C2" s="8">
        <f>ETF!C2</f>
        <v>3012.31216865535</v>
      </c>
    </row>
    <row r="3" spans="1:14" x14ac:dyDescent="0.3">
      <c r="A3" s="6" t="s">
        <v>46</v>
      </c>
      <c r="B3" s="5">
        <f>B2</f>
        <v>46044.125</v>
      </c>
      <c r="C3" s="8">
        <f>ETF!C3</f>
        <v>1840.5051840492731</v>
      </c>
    </row>
    <row r="4" spans="1:14" x14ac:dyDescent="0.3">
      <c r="A4" s="6" t="s">
        <v>46</v>
      </c>
      <c r="B4" s="5">
        <f t="shared" ref="B4:B12" si="0">B3</f>
        <v>46044.125</v>
      </c>
      <c r="C4" s="8">
        <f>ETF!C4</f>
        <v>3542.8659660902854</v>
      </c>
    </row>
    <row r="5" spans="1:14" x14ac:dyDescent="0.3">
      <c r="A5" s="6" t="s">
        <v>46</v>
      </c>
      <c r="B5" s="5">
        <f t="shared" si="0"/>
        <v>46044.125</v>
      </c>
      <c r="C5" s="8">
        <f>ETF!C5</f>
        <v>2259.9177549696524</v>
      </c>
    </row>
    <row r="6" spans="1:14" x14ac:dyDescent="0.3">
      <c r="A6" s="6" t="s">
        <v>46</v>
      </c>
      <c r="B6" s="5">
        <f t="shared" si="0"/>
        <v>46044.125</v>
      </c>
      <c r="C6" s="8" t="e">
        <f>ETF!#REF!</f>
        <v>#REF!</v>
      </c>
    </row>
    <row r="7" spans="1:14" x14ac:dyDescent="0.3">
      <c r="A7" s="6" t="s">
        <v>46</v>
      </c>
      <c r="B7" s="5">
        <f t="shared" si="0"/>
        <v>46044.125</v>
      </c>
      <c r="C7" s="8">
        <f>ETF!C6</f>
        <v>945.04880433945652</v>
      </c>
    </row>
    <row r="8" spans="1:14" x14ac:dyDescent="0.3">
      <c r="A8" s="6" t="s">
        <v>46</v>
      </c>
      <c r="B8" s="5">
        <f t="shared" si="0"/>
        <v>46044.125</v>
      </c>
      <c r="C8" s="8">
        <f>ETF!C7</f>
        <v>1728.9950704189778</v>
      </c>
    </row>
    <row r="9" spans="1:14" x14ac:dyDescent="0.3">
      <c r="A9" s="6" t="s">
        <v>46</v>
      </c>
      <c r="B9" s="5">
        <f t="shared" si="0"/>
        <v>46044.125</v>
      </c>
      <c r="C9" s="8">
        <f>ETF!C8</f>
        <v>1147.9707738362854</v>
      </c>
    </row>
    <row r="10" spans="1:14" x14ac:dyDescent="0.3">
      <c r="A10" s="6" t="s">
        <v>46</v>
      </c>
      <c r="B10" s="5">
        <f t="shared" si="0"/>
        <v>46044.125</v>
      </c>
      <c r="C10" s="8">
        <f>ETF!C9</f>
        <v>1280.7858174245027</v>
      </c>
    </row>
    <row r="11" spans="1:14" x14ac:dyDescent="0.3">
      <c r="A11" s="6" t="s">
        <v>46</v>
      </c>
      <c r="B11" s="5">
        <f t="shared" si="0"/>
        <v>46044.125</v>
      </c>
      <c r="C11" s="8" t="e">
        <f>ETF!#REF!</f>
        <v>#REF!</v>
      </c>
    </row>
    <row r="12" spans="1:14" x14ac:dyDescent="0.3">
      <c r="A12" s="6" t="s">
        <v>46</v>
      </c>
      <c r="B12" s="5">
        <f t="shared" si="0"/>
        <v>46044.125</v>
      </c>
      <c r="C12" s="8">
        <f>ETF!C10</f>
        <v>1762.3538553086332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Native</vt:lpstr>
      <vt:lpstr>ETF</vt:lpstr>
      <vt:lpstr>CME-Fut</vt:lpstr>
      <vt:lpstr>CME-Combo</vt:lpstr>
      <vt:lpstr>IBIT-Combo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2026-01-21T22:05:07Z</dcterms:created>
  <dcterms:modified xsi:type="dcterms:W3CDTF">2026-01-22T16:51:28Z</dcterms:modified>
</cp:coreProperties>
</file>